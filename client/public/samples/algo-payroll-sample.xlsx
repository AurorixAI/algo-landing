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30fcbf3b5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едомость" sheetId="1" r:id="Rbdc6b0e15eed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6">
    <x:font>
      <x:sz val="11"/>
      <x:name val="Carlito"/>
    </x:font>
    <x:font>
      <x:sz val="11"/>
      <x:color rgb="FF24314A"/>
      <x:name val="Arial"/>
    </x:font>
    <x:font>
      <x:b/>
      <x:sz val="16"/>
      <x:color rgb="FF18356C"/>
      <x:name val="Arial"/>
    </x:font>
    <x:font>
      <x:sz val="10"/>
      <x:color rgb="FF687C98"/>
      <x:name val="Arial"/>
    </x:font>
    <x:font>
      <x:b/>
      <x:sz val="10"/>
      <x:color rgb="FFFFFFFF"/>
      <x:name val="Arial"/>
    </x:font>
    <x:font>
      <x:b/>
      <x:sz val="11"/>
      <x:color rgb="FF1D438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438D"/>
      </x:patternFill>
    </x:fill>
    <x:fill>
      <x:patternFill patternType="solid">
        <x:fgColor rgb="FFF5F8FD"/>
      </x:patternFill>
    </x:fill>
    <x:fill>
      <x:patternFill patternType="solid">
        <x:fgColor rgb="FFE8E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1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9f1127fac4446" /><Relationship Type="http://schemas.openxmlformats.org/officeDocument/2006/relationships/theme" Target="/xl/theme/theme1.xml" Id="Rd837ad49ab984868" /><Relationship Type="http://schemas.openxmlformats.org/officeDocument/2006/relationships/sharedStrings" Target="/xl/sharedStrings.xml" Id="Ra1f5226a30f145f9" /><Relationship Type="http://schemas.openxmlformats.org/officeDocument/2006/relationships/worksheet" Target="/xl/worksheets/sheet1.xml" Id="Rbdc6b0e15eed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1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25" customHeight="1">
      <x:c r="A1" s="2" t="str">
        <x:v>ALGO. Образец ведомости</x:v>
      </x:c>
      <x:c r="B1" s="1"/>
      <x:c r="C1" s="1"/>
      <x:c r="D1" s="1"/>
      <x:c r="E1" s="1"/>
      <x:c r="F1" s="1"/>
      <x:c r="G1" s="1"/>
    </x:row>
    <x:row r="2" ht="25" customHeight="1">
      <x:c r="A2" s="3" t="str">
        <x:v>Дилшод Рахимов. Октябрь 2026. Предварительно. Редакция 2.</x:v>
      </x:c>
      <x:c r="B2" s="3"/>
      <x:c r="C2" s="3"/>
      <x:c r="D2" s="3"/>
      <x:c r="E2" s="3"/>
      <x:c r="F2" s="3"/>
      <x:c r="G2" s="3"/>
    </x:row>
    <x:row r="3" ht="25" customHeight="1">
      <x:c r="A3" s="1"/>
      <x:c r="B3" s="1"/>
      <x:c r="C3" s="1"/>
      <x:c r="D3" s="1"/>
      <x:c r="E3" s="1"/>
      <x:c r="F3" s="1"/>
      <x:c r="G3" s="1"/>
    </x:row>
    <x:row r="4" ht="25" customHeight="1">
      <x:c r="A4" s="1" t="str">
        <x:v>Оплата за месяц, UZS</x:v>
      </x:c>
      <x:c r="B4" s="12" t="n">
        <x:v>800000</x:v>
      </x:c>
      <x:c r="C4" s="1"/>
      <x:c r="D4" s="1"/>
      <x:c r="E4" s="1"/>
      <x:c r="F4" s="1"/>
      <x:c r="G4" s="1"/>
    </x:row>
    <x:row r="5" ht="25" customHeight="1">
      <x:c r="A5" s="1" t="str">
        <x:v>Занятий в расчёте</x:v>
      </x:c>
      <x:c r="B5" s="1" t="n">
        <x:v>8</x:v>
      </x:c>
      <x:c r="C5" s="1"/>
      <x:c r="D5" s="1"/>
      <x:c r="E5" s="1"/>
      <x:c r="F5" s="1"/>
      <x:c r="G5" s="1"/>
    </x:row>
    <x:row r="6" ht="25" customHeight="1">
      <x:c r="A6" s="1" t="str">
        <x:v>Доля преподавателя</x:v>
      </x:c>
      <x:c r="B6" s="13" t="n">
        <x:v>0.4</x:v>
      </x:c>
      <x:c r="C6" s="1"/>
      <x:c r="D6" s="1"/>
      <x:c r="E6" s="1"/>
      <x:c r="F6" s="1"/>
      <x:c r="G6" s="1"/>
    </x:row>
    <x:row r="7" ht="25" customHeight="1">
      <x:c r="A7" s="1"/>
      <x:c r="B7" s="1"/>
      <x:c r="C7" s="1"/>
      <x:c r="D7" s="1"/>
      <x:c r="E7" s="1"/>
      <x:c r="F7" s="1"/>
      <x:c r="G7" s="1"/>
    </x:row>
    <x:row r="8" ht="38" customHeight="1">
      <x:c r="A8" s="7" t="str">
        <x:v>Дата</x:v>
      </x:c>
      <x:c r="B8" s="7" t="str">
        <x:v>Ученик</x:v>
      </x:c>
      <x:c r="C8" s="7" t="str">
        <x:v>Группа</x:v>
      </x:c>
      <x:c r="D8" s="7" t="str">
        <x:v>Оплата / месяц, UZS</x:v>
      </x:c>
      <x:c r="E8" s="7" t="str">
        <x:v>Занятий</x:v>
      </x:c>
      <x:c r="F8" s="7" t="str">
        <x:v>Доля</x:v>
      </x:c>
      <x:c r="G8" s="7" t="str">
        <x:v>Начислено, UZS</x:v>
      </x:c>
    </x:row>
    <x:row r="9" ht="25" customHeight="1">
      <x:c r="A9" s="11" t="n">
        <x:v>46299</x:v>
      </x:c>
      <x:c r="B9" s="8" t="str">
        <x:v>Азиза Каримова</x:v>
      </x:c>
      <x:c r="C9" s="8" t="str">
        <x:v>Алгебра · 8 класс</x:v>
      </x:c>
      <x:c r="D9" s="14" t="n">
        <x:f>$B$4</x:f>
        <x:v>800000</x:v>
      </x:c>
      <x:c r="E9" s="8" t="n">
        <x:f>$B$5</x:f>
        <x:v>8</x:v>
      </x:c>
      <x:c r="F9" s="15" t="n">
        <x:f>$B$6</x:f>
        <x:v>0.4</x:v>
      </x:c>
      <x:c r="G9" s="14" t="n">
        <x:f>D9/E9*F9</x:f>
        <x:v>40000</x:v>
      </x:c>
    </x:row>
    <x:row r="10" ht="25" customHeight="1">
      <x:c r="A10" s="11" t="n">
        <x:v>46302</x:v>
      </x:c>
      <x:c r="B10" s="8" t="str">
        <x:v>Азиза Каримова</x:v>
      </x:c>
      <x:c r="C10" s="8" t="str">
        <x:v>Алгебра · 8 класс</x:v>
      </x:c>
      <x:c r="D10" s="14" t="n">
        <x:f>$B$4</x:f>
        <x:v>800000</x:v>
      </x:c>
      <x:c r="E10" s="8" t="n">
        <x:f>$B$5</x:f>
        <x:v>8</x:v>
      </x:c>
      <x:c r="F10" s="15" t="n">
        <x:f>$B$6</x:f>
        <x:v>0.4</x:v>
      </x:c>
      <x:c r="G10" s="14" t="n">
        <x:f>D10/E10*F10</x:f>
        <x:v>40000</x:v>
      </x:c>
    </x:row>
    <x:row r="11" ht="25" customHeight="1">
      <x:c r="A11" s="11" t="n">
        <x:v>46306</x:v>
      </x:c>
      <x:c r="B11" s="8" t="str">
        <x:v>Азиза Каримова</x:v>
      </x:c>
      <x:c r="C11" s="8" t="str">
        <x:v>Алгебра · 8 класс</x:v>
      </x:c>
      <x:c r="D11" s="14" t="n">
        <x:f>$B$4</x:f>
        <x:v>800000</x:v>
      </x:c>
      <x:c r="E11" s="8" t="n">
        <x:f>$B$5</x:f>
        <x:v>8</x:v>
      </x:c>
      <x:c r="F11" s="15" t="n">
        <x:f>$B$6</x:f>
        <x:v>0.4</x:v>
      </x:c>
      <x:c r="G11" s="14" t="n">
        <x:f>D11/E11*F11</x:f>
        <x:v>40000</x:v>
      </x:c>
    </x:row>
    <x:row r="12" ht="25" customHeight="1">
      <x:c r="A12" s="11" t="n">
        <x:v>46309</x:v>
      </x:c>
      <x:c r="B12" s="8" t="str">
        <x:v>Азиза Каримова</x:v>
      </x:c>
      <x:c r="C12" s="8" t="str">
        <x:v>Алгебра · 8 класс</x:v>
      </x:c>
      <x:c r="D12" s="14" t="n">
        <x:f>$B$4</x:f>
        <x:v>800000</x:v>
      </x:c>
      <x:c r="E12" s="8" t="n">
        <x:f>$B$5</x:f>
        <x:v>8</x:v>
      </x:c>
      <x:c r="F12" s="15" t="n">
        <x:f>$B$6</x:f>
        <x:v>0.4</x:v>
      </x:c>
      <x:c r="G12" s="14" t="n">
        <x:f>D12/E12*F12</x:f>
        <x:v>40000</x:v>
      </x:c>
    </x:row>
    <x:row r="13" ht="25" customHeight="1">
      <x:c r="A13" s="1"/>
      <x:c r="B13" s="1"/>
      <x:c r="C13" s="1"/>
      <x:c r="D13" s="1"/>
      <x:c r="E13" s="1"/>
      <x:c r="F13" s="1"/>
      <x:c r="G13" s="12"/>
    </x:row>
    <x:row r="14" ht="25" customHeight="1">
      <x:c r="A14" s="1"/>
      <x:c r="B14" s="1"/>
      <x:c r="C14" s="1"/>
      <x:c r="D14" s="1"/>
      <x:c r="E14" s="1"/>
      <x:c r="F14" s="10" t="str">
        <x:v>Итого, UZS</x:v>
      </x:c>
      <x:c r="G14" s="16" t="n">
        <x:f>SUM(G9:G12)</x:f>
        <x:v>160000</x:v>
      </x:c>
    </x:row>
    <x:row r="15" ht="25" customHeight="1">
      <x:c r="A15" s="1"/>
      <x:c r="B15" s="1"/>
      <x:c r="C15" s="1"/>
      <x:c r="D15" s="1"/>
      <x:c r="E15" s="1"/>
      <x:c r="F15" s="1"/>
      <x:c r="G15" s="1"/>
    </x:row>
    <x:row r="16" ht="25" customHeight="1">
      <x:c r="A16" s="1" t="str">
        <x:v>Все 4 урока завершены, оплачены и учтены. После явного пересчёта: 160 000 UZS.</x:v>
      </x:c>
      <x:c r="B16" s="1"/>
      <x:c r="C16" s="1"/>
      <x:c r="D16" s="1"/>
      <x:c r="E16" s="1"/>
      <x:c r="F16" s="1"/>
      <x:c r="G16" s="1"/>
    </x:row>
    <x:row r="17" ht="25" customHeight="1">
      <x:c r="A17" s="1" t="str">
        <x:v>Расчёт примера: оплата за месяц / 8 занятий × 40%. Каждый урок: 40 000 UZS.</x:v>
      </x:c>
      <x:c r="B17" s="1"/>
      <x:c r="C17" s="1"/>
      <x:c r="D17" s="1"/>
      <x:c r="E17" s="1"/>
      <x:c r="F17" s="1"/>
      <x:c r="G17" s="1"/>
    </x:row>
    <x:row r="18" ht="25" customHeight="1">
      <x:c r="A18" s="1"/>
      <x:c r="B18" s="1"/>
      <x:c r="C18" s="1"/>
      <x:c r="D18" s="1"/>
      <x:c r="E18" s="1"/>
      <x:c r="F18" s="1"/>
      <x:c r="G18" s="1"/>
    </x:row>
    <x:row r="19" ht="25" customHeight="1">
      <x:c r="A19" s="1" t="str">
        <x:v>Основание: демонстрационный сценарий ALGO. Это образец, не начисление реальному сотруднику.</x:v>
      </x:c>
      <x:c r="B19" s="1"/>
      <x:c r="C19" s="1"/>
      <x:c r="D19" s="1"/>
      <x:c r="E19" s="1"/>
      <x:c r="F19" s="1"/>
      <x:c r="G19" s="1"/>
    </x:row>
  </x:sheetData>
  <x:pageMargins left="0.7" right="0.7" top="0.75" bottom="0.75" header="0.3" footer="0.3"/>
</x:worksheet>
</file>